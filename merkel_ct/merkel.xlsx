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KEL" sheetId="1" r:id="rId5"/>
    <sheet state="visible" name="Abbrevations" sheetId="2" r:id="rId6"/>
  </sheets>
  <definedNames/>
  <calcPr/>
</workbook>
</file>

<file path=xl/sharedStrings.xml><?xml version="1.0" encoding="utf-8"?>
<sst xmlns="http://schemas.openxmlformats.org/spreadsheetml/2006/main" count="86" uniqueCount="76">
  <si>
    <t>INPUT</t>
  </si>
  <si>
    <t>Supplemental calculations</t>
  </si>
  <si>
    <t>Cooling tower</t>
  </si>
  <si>
    <t>LG</t>
  </si>
  <si>
    <t>N</t>
  </si>
  <si>
    <t xml:space="preserve">Air </t>
  </si>
  <si>
    <t>Pvs</t>
  </si>
  <si>
    <t>kPa</t>
  </si>
  <si>
    <t>W</t>
  </si>
  <si>
    <t>kg/kg</t>
  </si>
  <si>
    <t>Water</t>
  </si>
  <si>
    <t>L</t>
  </si>
  <si>
    <t>t/h</t>
  </si>
  <si>
    <t>kg/s</t>
  </si>
  <si>
    <t>Pv</t>
  </si>
  <si>
    <t>Thot</t>
  </si>
  <si>
    <t>C</t>
  </si>
  <si>
    <t>Twb</t>
  </si>
  <si>
    <t>Tcold</t>
  </si>
  <si>
    <t>H</t>
  </si>
  <si>
    <t>kJ/kg</t>
  </si>
  <si>
    <t>Air</t>
  </si>
  <si>
    <t>Temp</t>
  </si>
  <si>
    <t>Constants</t>
  </si>
  <si>
    <t>CpWater</t>
  </si>
  <si>
    <t>kJ/kg/C</t>
  </si>
  <si>
    <t>RH</t>
  </si>
  <si>
    <t>CpAir</t>
  </si>
  <si>
    <t>Pressure</t>
  </si>
  <si>
    <t>mmHg</t>
  </si>
  <si>
    <t>CpVapor</t>
  </si>
  <si>
    <t>Ev heat water</t>
  </si>
  <si>
    <t>Merkel integration</t>
  </si>
  <si>
    <t/>
  </si>
  <si>
    <t>Result</t>
  </si>
  <si>
    <t>T</t>
  </si>
  <si>
    <t>Wvs</t>
  </si>
  <si>
    <t>Hs</t>
  </si>
  <si>
    <t>Hw</t>
  </si>
  <si>
    <t>Ha</t>
  </si>
  <si>
    <t>Hs-Ha</t>
  </si>
  <si>
    <t>1/(Hs-Ha)</t>
  </si>
  <si>
    <t>NTU</t>
  </si>
  <si>
    <t>T1</t>
  </si>
  <si>
    <t>T2</t>
  </si>
  <si>
    <t>Approach</t>
  </si>
  <si>
    <t>T3</t>
  </si>
  <si>
    <t>Eff</t>
  </si>
  <si>
    <t>T4</t>
  </si>
  <si>
    <t>T5</t>
  </si>
  <si>
    <r>
      <rPr>
        <rFont val="Aptos Narrow"/>
        <b/>
        <color theme="1"/>
        <sz val="11.0"/>
      </rPr>
      <t>LG</t>
    </r>
    <r>
      <rPr>
        <rFont val="Aptos Narrow"/>
        <b val="0"/>
        <color theme="1"/>
        <sz val="11.0"/>
      </rPr>
      <t xml:space="preserve"> – Load Ratio / Air-Water Ratio</t>
    </r>
  </si>
  <si>
    <r>
      <rPr>
        <rFont val="Aptos Narrow"/>
        <b/>
        <color theme="1"/>
        <sz val="11.0"/>
      </rPr>
      <t>Wvs</t>
    </r>
    <r>
      <rPr>
        <rFont val="Aptos Narrow"/>
        <b val="0"/>
        <color theme="1"/>
        <sz val="11.0"/>
      </rPr>
      <t xml:space="preserve"> – Humidity Ratio of Saturated Air (kg moisture/kg dry air)</t>
    </r>
  </si>
  <si>
    <r>
      <rPr>
        <rFont val="Aptos Narrow"/>
        <b/>
        <color theme="1"/>
        <sz val="11.0"/>
      </rPr>
      <t>L</t>
    </r>
    <r>
      <rPr>
        <rFont val="Aptos Narrow"/>
        <b val="0"/>
        <color theme="1"/>
        <sz val="11.0"/>
      </rPr>
      <t xml:space="preserve"> – Water Flow Rate (t/h – tonnes per hour)</t>
    </r>
  </si>
  <si>
    <r>
      <rPr>
        <rFont val="Aptos Narrow"/>
        <b/>
        <color theme="1"/>
        <sz val="11.0"/>
      </rPr>
      <t>Hs</t>
    </r>
    <r>
      <rPr>
        <rFont val="Aptos Narrow"/>
        <b val="0"/>
        <color theme="1"/>
        <sz val="11.0"/>
      </rPr>
      <t xml:space="preserve"> – Enthalpy of Saturated Air (kJ/kg)</t>
    </r>
  </si>
  <si>
    <r>
      <rPr>
        <rFont val="Aptos Narrow"/>
        <b/>
        <color theme="1"/>
        <sz val="11.0"/>
      </rPr>
      <t>Thot</t>
    </r>
    <r>
      <rPr>
        <rFont val="Aptos Narrow"/>
        <b val="0"/>
        <color theme="1"/>
        <sz val="11.0"/>
      </rPr>
      <t xml:space="preserve"> – Hot Water Temperature (inlet)</t>
    </r>
  </si>
  <si>
    <r>
      <rPr>
        <rFont val="Aptos Narrow"/>
        <b/>
        <color theme="1"/>
        <sz val="11.0"/>
      </rPr>
      <t>Hw</t>
    </r>
    <r>
      <rPr>
        <rFont val="Aptos Narrow"/>
        <b val="0"/>
        <color theme="1"/>
        <sz val="11.0"/>
      </rPr>
      <t xml:space="preserve"> – Enthalpy of Water (kJ/kg)</t>
    </r>
  </si>
  <si>
    <r>
      <rPr>
        <rFont val="Aptos Narrow"/>
        <b/>
        <color theme="1"/>
        <sz val="11.0"/>
      </rPr>
      <t>Tcold</t>
    </r>
    <r>
      <rPr>
        <rFont val="Aptos Narrow"/>
        <b val="0"/>
        <color theme="1"/>
        <sz val="11.0"/>
      </rPr>
      <t xml:space="preserve"> – Cold Water Temperature (outlet)</t>
    </r>
  </si>
  <si>
    <r>
      <rPr>
        <rFont val="Aptos Narrow"/>
        <b/>
        <color theme="1"/>
        <sz val="11.0"/>
      </rPr>
      <t>Ha</t>
    </r>
    <r>
      <rPr>
        <rFont val="Aptos Narrow"/>
        <b val="0"/>
        <color theme="1"/>
        <sz val="11.0"/>
      </rPr>
      <t xml:space="preserve"> – Enthalpy of Air (kJ/kg)</t>
    </r>
  </si>
  <si>
    <r>
      <rPr>
        <rFont val="Aptos Narrow"/>
        <b/>
        <color theme="1"/>
        <sz val="11.0"/>
      </rPr>
      <t>Temp</t>
    </r>
    <r>
      <rPr>
        <rFont val="Aptos Narrow"/>
        <b val="0"/>
        <color theme="1"/>
        <sz val="11.0"/>
      </rPr>
      <t xml:space="preserve"> – Temperature</t>
    </r>
  </si>
  <si>
    <r>
      <rPr>
        <rFont val="Aptos Narrow"/>
        <b/>
        <color theme="1"/>
        <sz val="11.0"/>
      </rPr>
      <t>Hs-Ha</t>
    </r>
    <r>
      <rPr>
        <rFont val="Aptos Narrow"/>
        <b val="0"/>
        <color theme="1"/>
        <sz val="11.0"/>
      </rPr>
      <t xml:space="preserve"> – Driving Force for Mass Transfer (kJ/kg)</t>
    </r>
  </si>
  <si>
    <r>
      <rPr>
        <rFont val="Aptos Narrow"/>
        <b/>
        <color theme="1"/>
        <sz val="11.0"/>
      </rPr>
      <t>RH</t>
    </r>
    <r>
      <rPr>
        <rFont val="Aptos Narrow"/>
        <b val="0"/>
        <color theme="1"/>
        <sz val="11.0"/>
      </rPr>
      <t xml:space="preserve"> – Relative Humidity (%)</t>
    </r>
  </si>
  <si>
    <r>
      <rPr>
        <rFont val="Aptos Narrow"/>
        <b/>
        <color theme="1"/>
        <sz val="11.0"/>
      </rPr>
      <t>NTU</t>
    </r>
    <r>
      <rPr>
        <rFont val="Aptos Narrow"/>
        <b val="0"/>
        <color theme="1"/>
        <sz val="11.0"/>
      </rPr>
      <t xml:space="preserve"> – Number of Transfer Units</t>
    </r>
  </si>
  <si>
    <r>
      <rPr>
        <rFont val="Aptos Narrow"/>
        <b/>
        <color theme="1"/>
        <sz val="11.0"/>
      </rPr>
      <t>Pressure</t>
    </r>
    <r>
      <rPr>
        <rFont val="Aptos Narrow"/>
        <b val="0"/>
        <color theme="1"/>
        <sz val="11.0"/>
      </rPr>
      <t xml:space="preserve"> – Atmospheric Pressure (mmHg or kPa)</t>
    </r>
  </si>
  <si>
    <r>
      <rPr>
        <rFont val="Aptos Narrow"/>
        <b/>
        <color theme="1"/>
        <sz val="11.0"/>
      </rPr>
      <t>C</t>
    </r>
    <r>
      <rPr>
        <rFont val="Aptos Narrow"/>
        <b val="0"/>
        <color theme="1"/>
        <sz val="11.0"/>
      </rPr>
      <t xml:space="preserve"> – NTU normalized to LG=1</t>
    </r>
  </si>
  <si>
    <r>
      <rPr>
        <rFont val="Aptos Narrow"/>
        <b/>
        <color theme="1"/>
        <sz val="11.0"/>
      </rPr>
      <t>Pvs</t>
    </r>
    <r>
      <rPr>
        <rFont val="Aptos Narrow"/>
        <b val="0"/>
        <color theme="1"/>
        <sz val="11.0"/>
      </rPr>
      <t xml:space="preserve"> – Saturation Vapor Pressure of Water (kPa)</t>
    </r>
  </si>
  <si>
    <r>
      <rPr>
        <rFont val="Aptos Narrow"/>
        <b/>
        <color theme="1"/>
        <sz val="11.0"/>
      </rPr>
      <t>Tw</t>
    </r>
    <r>
      <rPr>
        <rFont val="Aptos Narrow"/>
        <b val="0"/>
        <color theme="1"/>
        <sz val="11.0"/>
      </rPr>
      <t xml:space="preserve"> – Water Temperature (°C)</t>
    </r>
  </si>
  <si>
    <r>
      <rPr>
        <rFont val="Aptos Narrow"/>
        <b/>
        <color theme="1"/>
        <sz val="11.0"/>
      </rPr>
      <t>Pv</t>
    </r>
    <r>
      <rPr>
        <rFont val="Aptos Narrow"/>
        <b val="0"/>
        <color theme="1"/>
        <sz val="11.0"/>
      </rPr>
      <t xml:space="preserve"> – Partial Vapor Pressure (kPa)</t>
    </r>
  </si>
  <si>
    <r>
      <rPr>
        <rFont val="Aptos Narrow"/>
        <b/>
        <color theme="1"/>
        <sz val="11.0"/>
      </rPr>
      <t>Approach</t>
    </r>
    <r>
      <rPr>
        <rFont val="Aptos Narrow"/>
        <b val="0"/>
        <color theme="1"/>
        <sz val="11.0"/>
      </rPr>
      <t xml:space="preserve"> – Approach Temperature (Tcold - Twb) (°C)</t>
    </r>
  </si>
  <si>
    <r>
      <rPr>
        <rFont val="Aptos Narrow"/>
        <b/>
        <color theme="1"/>
        <sz val="11.0"/>
      </rPr>
      <t>Twb</t>
    </r>
    <r>
      <rPr>
        <rFont val="Aptos Narrow"/>
        <b val="0"/>
        <color theme="1"/>
        <sz val="11.0"/>
      </rPr>
      <t xml:space="preserve"> – Wet Bulb Temperature (°C)</t>
    </r>
  </si>
  <si>
    <r>
      <rPr>
        <rFont val="Aptos Narrow"/>
        <b/>
        <color theme="1"/>
        <sz val="11.0"/>
      </rPr>
      <t>Eff</t>
    </r>
    <r>
      <rPr>
        <rFont val="Aptos Narrow"/>
        <b val="0"/>
        <color theme="1"/>
        <sz val="11.0"/>
      </rPr>
      <t xml:space="preserve"> – Cooling Tower Efficiency (%)</t>
    </r>
  </si>
  <si>
    <r>
      <rPr>
        <rFont val="Aptos Narrow"/>
        <b/>
        <color theme="1"/>
        <sz val="11.0"/>
      </rPr>
      <t>H</t>
    </r>
    <r>
      <rPr>
        <rFont val="Aptos Narrow"/>
        <b val="0"/>
        <color theme="1"/>
        <sz val="11.0"/>
      </rPr>
      <t xml:space="preserve"> – Enthalpy (kJ/kg)</t>
    </r>
  </si>
  <si>
    <r>
      <rPr>
        <rFont val="Aptos Narrow"/>
        <b/>
        <color theme="1"/>
        <sz val="11.0"/>
      </rPr>
      <t>CpWater</t>
    </r>
    <r>
      <rPr>
        <rFont val="Aptos Narrow"/>
        <b val="0"/>
        <color theme="1"/>
        <sz val="11.0"/>
      </rPr>
      <t xml:space="preserve"> – Specific Heat Capacity of Water (kJ/kg·°C)</t>
    </r>
  </si>
  <si>
    <r>
      <rPr>
        <rFont val="Aptos Narrow"/>
        <b/>
        <color theme="1"/>
        <sz val="11.0"/>
      </rPr>
      <t>CpAir</t>
    </r>
    <r>
      <rPr>
        <rFont val="Aptos Narrow"/>
        <b val="0"/>
        <color theme="1"/>
        <sz val="11.0"/>
      </rPr>
      <t xml:space="preserve"> – Specific Heat Capacity of Air (kJ/kg·°C)</t>
    </r>
  </si>
  <si>
    <r>
      <rPr>
        <rFont val="Aptos Narrow"/>
        <b/>
        <color theme="1"/>
        <sz val="11.0"/>
      </rPr>
      <t>CpVapor</t>
    </r>
    <r>
      <rPr>
        <rFont val="Aptos Narrow"/>
        <b val="0"/>
        <color theme="1"/>
        <sz val="11.0"/>
      </rPr>
      <t xml:space="preserve"> – Specific Heat Capacity of Water Vapor (kJ/kg·°C)</t>
    </r>
  </si>
  <si>
    <r>
      <rPr>
        <rFont val="Aptos Narrow"/>
        <b/>
        <color theme="1"/>
        <sz val="11.0"/>
      </rPr>
      <t>Ev heat water</t>
    </r>
    <r>
      <rPr>
        <rFont val="Aptos Narrow"/>
        <b val="0"/>
        <color theme="1"/>
        <sz val="11.0"/>
      </rPr>
      <t xml:space="preserve"> – Latent Heat of Vaporization of Water (kJ/kg)</t>
    </r>
  </si>
  <si>
    <r>
      <rPr>
        <rFont val="Aptos Narrow"/>
        <b/>
        <color theme="1"/>
        <sz val="11.0"/>
      </rPr>
      <t>W</t>
    </r>
    <r>
      <rPr>
        <rFont val="Aptos Narrow"/>
        <b val="0"/>
        <color theme="1"/>
        <sz val="11.0"/>
      </rPr>
      <t xml:space="preserve"> - Humidity Ratio of  Air (kg moisture/kg dry air)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</si>
</sst>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9">
    <font>
      <sz val="11.0"/>
      <color theme="1"/>
      <name val="Aptos Narrow"/>
      <scheme val="minor"/>
    </font>
    <font>
      <b/>
      <sz val="11.0"/>
      <color theme="1"/>
      <name val="Aptos Narrow"/>
    </font>
    <font/>
    <font>
      <sz val="11.0"/>
      <color theme="1"/>
      <name val="Aptos Narrow"/>
    </font>
    <font>
      <sz val="11.0"/>
      <color theme="1"/>
      <name val="Arial"/>
    </font>
    <font>
      <b/>
      <sz val="11.0"/>
      <color rgb="FFFF0000"/>
      <name val="Aptos Narrow"/>
    </font>
    <font>
      <b/>
      <sz val="11.0"/>
      <color theme="1"/>
      <name val="Arial"/>
    </font>
    <font>
      <color theme="1"/>
      <name val="Aptos Narrow"/>
      <scheme val="minor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rgb="FFDBE9F7"/>
        <bgColor rgb="FFDBE9F7"/>
      </patternFill>
    </fill>
    <fill>
      <patternFill patternType="solid">
        <fgColor rgb="FFD9F2D0"/>
        <bgColor rgb="FFD9F2D0"/>
      </patternFill>
    </fill>
    <fill>
      <patternFill patternType="solid">
        <fgColor rgb="FFFAE2D5"/>
        <bgColor rgb="FFFAE2D5"/>
      </patternFill>
    </fill>
    <fill>
      <patternFill patternType="solid">
        <fgColor rgb="FFF1CEEE"/>
        <bgColor rgb="FFF1CEEE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/>
    </xf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6" fillId="0" fontId="3" numFmtId="0" xfId="0" applyBorder="1" applyFont="1"/>
    <xf borderId="6" fillId="4" fontId="3" numFmtId="2" xfId="0" applyBorder="1" applyFill="1" applyFont="1" applyNumberFormat="1"/>
    <xf borderId="7" fillId="5" fontId="3" numFmtId="2" xfId="0" applyBorder="1" applyFill="1" applyFont="1" applyNumberFormat="1"/>
    <xf borderId="4" fillId="0" fontId="3" numFmtId="0" xfId="0" applyBorder="1" applyFont="1"/>
    <xf borderId="8" fillId="0" fontId="3" numFmtId="0" xfId="0" applyAlignment="1" applyBorder="1" applyFont="1">
      <alignment horizontal="center" vertical="center"/>
    </xf>
    <xf borderId="9" fillId="0" fontId="2" numFmtId="0" xfId="0" applyBorder="1" applyFont="1"/>
    <xf borderId="6" fillId="0" fontId="3" numFmtId="2" xfId="0" applyBorder="1" applyFont="1" applyNumberFormat="1"/>
    <xf borderId="6" fillId="4" fontId="3" numFmtId="0" xfId="0" applyBorder="1" applyFont="1"/>
    <xf borderId="4" fillId="0" fontId="4" numFmtId="0" xfId="0" applyAlignment="1" applyBorder="1" applyFont="1">
      <alignment readingOrder="0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6" fillId="4" fontId="4" numFmtId="2" xfId="0" applyAlignment="1" applyBorder="1" applyFont="1" applyNumberFormat="1">
      <alignment readingOrder="0"/>
    </xf>
    <xf borderId="6" fillId="4" fontId="4" numFmtId="9" xfId="0" applyAlignment="1" applyBorder="1" applyFont="1" applyNumberFormat="1">
      <alignment readingOrder="0"/>
    </xf>
    <xf borderId="1" fillId="6" fontId="1" numFmtId="0" xfId="0" applyAlignment="1" applyBorder="1" applyFill="1" applyFont="1">
      <alignment horizontal="center"/>
    </xf>
    <xf quotePrefix="1" borderId="0" fillId="0" fontId="3" numFmtId="0" xfId="0" applyFont="1"/>
    <xf borderId="4" fillId="7" fontId="1" numFmtId="0" xfId="0" applyAlignment="1" applyBorder="1" applyFill="1" applyFont="1">
      <alignment horizontal="center"/>
    </xf>
    <xf borderId="6" fillId="0" fontId="1" numFmtId="0" xfId="0" applyBorder="1" applyFont="1"/>
    <xf borderId="6" fillId="0" fontId="3" numFmtId="164" xfId="0" applyBorder="1" applyFont="1" applyNumberFormat="1"/>
    <xf borderId="0" fillId="0" fontId="5" numFmtId="0" xfId="0" applyFont="1"/>
    <xf borderId="6" fillId="0" fontId="6" numFmtId="0" xfId="0" applyAlignment="1" applyBorder="1" applyFont="1">
      <alignment readingOrder="0"/>
    </xf>
    <xf borderId="6" fillId="0" fontId="7" numFmtId="2" xfId="0" applyBorder="1" applyFont="1" applyNumberFormat="1"/>
    <xf borderId="6" fillId="0" fontId="8" numFmtId="0" xfId="0" applyAlignment="1" applyBorder="1" applyFont="1">
      <alignment readingOrder="0"/>
    </xf>
    <xf borderId="6" fillId="8" fontId="4" numFmtId="9" xfId="0" applyAlignment="1" applyBorder="1" applyFill="1" applyFont="1" applyNumberFormat="1">
      <alignment readingOrder="0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4.38"/>
    <col customWidth="1" min="5" max="8" width="8.63"/>
    <col customWidth="1" min="9" max="9" width="12.0"/>
    <col customWidth="1" min="10" max="10" width="14.13"/>
    <col customWidth="1" min="11" max="11" width="10.63"/>
    <col customWidth="1" min="12" max="14" width="8.63"/>
    <col customWidth="1" min="15" max="15" width="12.75"/>
    <col customWidth="1" min="16" max="26" width="8.63"/>
  </cols>
  <sheetData>
    <row r="1" ht="14.25" customHeight="1">
      <c r="A1" s="1" t="s">
        <v>0</v>
      </c>
      <c r="B1" s="2"/>
      <c r="C1" s="2"/>
      <c r="D1" s="2"/>
      <c r="E1" s="2"/>
      <c r="F1" s="2"/>
      <c r="G1" s="3"/>
      <c r="H1" s="4" t="s">
        <v>1</v>
      </c>
      <c r="I1" s="2"/>
      <c r="J1" s="2"/>
      <c r="K1" s="2"/>
      <c r="L1" s="2"/>
      <c r="M1" s="2"/>
      <c r="N1" s="2"/>
      <c r="O1" s="3"/>
    </row>
    <row r="2" ht="14.25" customHeight="1">
      <c r="A2" s="5" t="s">
        <v>2</v>
      </c>
      <c r="B2" s="6"/>
      <c r="C2" s="7" t="s">
        <v>3</v>
      </c>
      <c r="D2" s="8">
        <v>0.5</v>
      </c>
      <c r="E2" s="7" t="s">
        <v>4</v>
      </c>
      <c r="F2" s="9">
        <v>-0.55</v>
      </c>
      <c r="G2" s="10"/>
      <c r="H2" s="11" t="s">
        <v>5</v>
      </c>
      <c r="I2" s="12"/>
      <c r="J2" s="7" t="s">
        <v>6</v>
      </c>
      <c r="K2" s="13">
        <f>0.6112*EXP(17.67*D6/(D6+243.5))</f>
        <v>5.035767184</v>
      </c>
      <c r="L2" s="7" t="s">
        <v>7</v>
      </c>
      <c r="M2" s="7" t="s">
        <v>8</v>
      </c>
      <c r="N2" s="7">
        <f>0.622*K3/(F8-K3)</f>
        <v>0.01216884972</v>
      </c>
      <c r="O2" s="7" t="s">
        <v>9</v>
      </c>
    </row>
    <row r="3" ht="14.25" customHeight="1">
      <c r="A3" s="11" t="s">
        <v>10</v>
      </c>
      <c r="B3" s="12"/>
      <c r="C3" s="7" t="s">
        <v>11</v>
      </c>
      <c r="D3" s="14">
        <v>2000.0</v>
      </c>
      <c r="E3" s="7" t="s">
        <v>12</v>
      </c>
      <c r="F3" s="13">
        <f>D3/3600*1000</f>
        <v>555.5555556</v>
      </c>
      <c r="G3" s="15" t="s">
        <v>13</v>
      </c>
      <c r="H3" s="16"/>
      <c r="I3" s="17"/>
      <c r="J3" s="7" t="s">
        <v>14</v>
      </c>
      <c r="K3" s="13">
        <f>K2*D7</f>
        <v>1.91359153</v>
      </c>
      <c r="L3" s="7" t="s">
        <v>7</v>
      </c>
      <c r="M3" s="7"/>
      <c r="N3" s="7"/>
      <c r="O3" s="7"/>
    </row>
    <row r="4" ht="14.25" customHeight="1">
      <c r="A4" s="16"/>
      <c r="B4" s="17"/>
      <c r="C4" s="7" t="s">
        <v>15</v>
      </c>
      <c r="D4" s="8">
        <v>36.6</v>
      </c>
      <c r="E4" s="7" t="s">
        <v>16</v>
      </c>
      <c r="F4" s="13"/>
      <c r="G4" s="10"/>
      <c r="H4" s="16"/>
      <c r="I4" s="17"/>
      <c r="J4" s="7" t="s">
        <v>17</v>
      </c>
      <c r="K4" s="13">
        <f>D6*ATAN(0.151977*SQRT(D7*100+8.313659))+ATAN(D6+D7*100)-ATAN(D7*100-1.676331)+0.00391838*POWER(D7*100,1.5)*ATAN(0.023101*D7*100)-4.686035</f>
        <v>22.46263017</v>
      </c>
      <c r="L4" s="7" t="s">
        <v>16</v>
      </c>
      <c r="M4" s="7"/>
      <c r="N4" s="7"/>
      <c r="O4" s="7"/>
    </row>
    <row r="5" ht="14.25" customHeight="1">
      <c r="A5" s="18"/>
      <c r="B5" s="19"/>
      <c r="C5" s="7" t="s">
        <v>18</v>
      </c>
      <c r="D5" s="20">
        <v>27.6</v>
      </c>
      <c r="E5" s="7" t="s">
        <v>16</v>
      </c>
      <c r="F5" s="13"/>
      <c r="G5" s="10"/>
      <c r="H5" s="18"/>
      <c r="I5" s="19"/>
      <c r="J5" s="7" t="s">
        <v>19</v>
      </c>
      <c r="K5" s="13">
        <f>K7*D6+N2*(K9+K8*D6)</f>
        <v>64.37921714</v>
      </c>
      <c r="L5" s="7" t="s">
        <v>20</v>
      </c>
      <c r="M5" s="7"/>
      <c r="N5" s="7"/>
      <c r="O5" s="7"/>
    </row>
    <row r="6" ht="14.25" customHeight="1">
      <c r="A6" s="11" t="s">
        <v>21</v>
      </c>
      <c r="B6" s="12"/>
      <c r="C6" s="7" t="s">
        <v>22</v>
      </c>
      <c r="D6" s="20">
        <v>33.0</v>
      </c>
      <c r="E6" s="7" t="s">
        <v>16</v>
      </c>
      <c r="F6" s="13"/>
      <c r="G6" s="10"/>
      <c r="H6" s="11" t="s">
        <v>23</v>
      </c>
      <c r="I6" s="12"/>
      <c r="J6" s="7" t="s">
        <v>24</v>
      </c>
      <c r="K6" s="13">
        <v>4.186</v>
      </c>
      <c r="L6" s="7" t="s">
        <v>25</v>
      </c>
      <c r="M6" s="7"/>
      <c r="N6" s="7"/>
      <c r="O6" s="7"/>
    </row>
    <row r="7" ht="14.25" customHeight="1">
      <c r="A7" s="16"/>
      <c r="B7" s="17"/>
      <c r="C7" s="7" t="s">
        <v>26</v>
      </c>
      <c r="D7" s="21">
        <v>0.38</v>
      </c>
      <c r="E7" s="7"/>
      <c r="F7" s="13"/>
      <c r="G7" s="10"/>
      <c r="H7" s="16"/>
      <c r="I7" s="17"/>
      <c r="J7" s="7" t="s">
        <v>27</v>
      </c>
      <c r="K7" s="13">
        <v>1.006</v>
      </c>
      <c r="L7" s="7" t="s">
        <v>25</v>
      </c>
      <c r="M7" s="7"/>
      <c r="N7" s="7"/>
      <c r="O7" s="7"/>
    </row>
    <row r="8" ht="14.25" customHeight="1">
      <c r="A8" s="18"/>
      <c r="B8" s="19"/>
      <c r="C8" s="7" t="s">
        <v>28</v>
      </c>
      <c r="D8" s="14">
        <v>748.0</v>
      </c>
      <c r="E8" s="7" t="s">
        <v>29</v>
      </c>
      <c r="F8" s="13">
        <f>D8/760*101.325</f>
        <v>99.72513158</v>
      </c>
      <c r="G8" s="10" t="s">
        <v>7</v>
      </c>
      <c r="H8" s="16"/>
      <c r="I8" s="17"/>
      <c r="J8" s="7" t="s">
        <v>30</v>
      </c>
      <c r="K8" s="13">
        <v>1.86</v>
      </c>
      <c r="L8" s="7" t="s">
        <v>25</v>
      </c>
      <c r="M8" s="7"/>
      <c r="N8" s="7"/>
      <c r="O8" s="7"/>
    </row>
    <row r="9" ht="14.25" customHeight="1">
      <c r="H9" s="18"/>
      <c r="I9" s="19"/>
      <c r="J9" s="7" t="s">
        <v>31</v>
      </c>
      <c r="K9" s="13">
        <v>2501.0</v>
      </c>
      <c r="L9" s="7" t="s">
        <v>20</v>
      </c>
      <c r="M9" s="7"/>
      <c r="N9" s="7"/>
      <c r="O9" s="7"/>
    </row>
    <row r="10" ht="14.25" customHeight="1"/>
    <row r="11" ht="14.25" customHeight="1"/>
    <row r="12" ht="14.25" customHeight="1">
      <c r="A12" s="22" t="s">
        <v>32</v>
      </c>
      <c r="B12" s="2"/>
      <c r="C12" s="2"/>
      <c r="D12" s="2"/>
      <c r="E12" s="2"/>
      <c r="F12" s="2"/>
      <c r="G12" s="2"/>
      <c r="H12" s="2"/>
      <c r="I12" s="3"/>
      <c r="J12" s="23" t="s">
        <v>33</v>
      </c>
      <c r="K12" s="24" t="s">
        <v>34</v>
      </c>
      <c r="L12" s="6"/>
    </row>
    <row r="13" ht="14.25" customHeight="1">
      <c r="A13" s="25"/>
      <c r="B13" s="25" t="s">
        <v>35</v>
      </c>
      <c r="C13" s="25" t="s">
        <v>6</v>
      </c>
      <c r="D13" s="25" t="s">
        <v>36</v>
      </c>
      <c r="E13" s="25" t="s">
        <v>37</v>
      </c>
      <c r="F13" s="25" t="s">
        <v>38</v>
      </c>
      <c r="G13" s="25" t="s">
        <v>39</v>
      </c>
      <c r="H13" s="25" t="s">
        <v>40</v>
      </c>
      <c r="I13" s="25" t="s">
        <v>41</v>
      </c>
      <c r="K13" s="25" t="s">
        <v>42</v>
      </c>
      <c r="L13" s="26">
        <f>K6*(B15-B14)/3*(I14+4*I15+2*I16+4*I17+I18)</f>
        <v>1.010683175</v>
      </c>
    </row>
    <row r="14" ht="14.25" customHeight="1">
      <c r="A14" s="7" t="s">
        <v>43</v>
      </c>
      <c r="B14" s="13">
        <f>D5</f>
        <v>27.6</v>
      </c>
      <c r="C14" s="7">
        <f t="shared" ref="C14:C18" si="1">0.6112*EXP(17.67*B14/(B14+243.5))</f>
        <v>3.693618572</v>
      </c>
      <c r="D14" s="7">
        <f t="shared" ref="D14:D18" si="2">0.622*C14/($F$8-C14)</f>
        <v>0.02392371712</v>
      </c>
      <c r="E14" s="7">
        <f t="shared" ref="E14:E18" si="3">$K$7*B14 + D14*($K$9 + $K$8*B14)</f>
        <v>88.82696445</v>
      </c>
      <c r="F14" s="7">
        <f t="shared" ref="F14:F18" si="4">$K$6*B14</f>
        <v>115.5336</v>
      </c>
      <c r="G14" s="13">
        <f>K5</f>
        <v>64.37921714</v>
      </c>
      <c r="H14" s="13">
        <f t="shared" ref="H14:H18" si="5">E14-G14</f>
        <v>24.44774731</v>
      </c>
      <c r="I14" s="7">
        <f t="shared" ref="I14:I18" si="6">1/H14</f>
        <v>0.04090356413</v>
      </c>
      <c r="K14" s="25" t="s">
        <v>16</v>
      </c>
      <c r="L14" s="26">
        <f>L13/(D2^F2)</f>
        <v>0.6903169521</v>
      </c>
      <c r="Q14" s="27"/>
    </row>
    <row r="15" ht="14.25" customHeight="1">
      <c r="A15" s="7" t="s">
        <v>44</v>
      </c>
      <c r="B15" s="13">
        <f t="shared" ref="B15:B18" si="7">B14 + ($D$4-$D$5)/4</f>
        <v>29.85</v>
      </c>
      <c r="C15" s="7">
        <f t="shared" si="1"/>
        <v>4.209082096</v>
      </c>
      <c r="D15" s="7">
        <f t="shared" si="2"/>
        <v>0.02740951995</v>
      </c>
      <c r="E15" s="7">
        <f t="shared" si="3"/>
        <v>100.1021134</v>
      </c>
      <c r="F15" s="7">
        <f t="shared" si="4"/>
        <v>124.9521</v>
      </c>
      <c r="G15" s="13">
        <f t="shared" ref="G15:G18" si="8">(F15-F14)*$D$2+G14</f>
        <v>69.08846714</v>
      </c>
      <c r="H15" s="13">
        <f t="shared" si="5"/>
        <v>31.01364621</v>
      </c>
      <c r="I15" s="7">
        <f t="shared" si="6"/>
        <v>0.03224387075</v>
      </c>
      <c r="K15" s="28" t="s">
        <v>45</v>
      </c>
      <c r="L15" s="29">
        <f>D5-K4</f>
        <v>5.137369834</v>
      </c>
    </row>
    <row r="16" ht="14.25" customHeight="1">
      <c r="A16" s="7" t="s">
        <v>46</v>
      </c>
      <c r="B16" s="13">
        <f t="shared" si="7"/>
        <v>32.1</v>
      </c>
      <c r="C16" s="7">
        <f t="shared" si="1"/>
        <v>4.786260944</v>
      </c>
      <c r="D16" s="7">
        <f t="shared" si="2"/>
        <v>0.03135759134</v>
      </c>
      <c r="E16" s="7">
        <f t="shared" si="3"/>
        <v>112.5901723</v>
      </c>
      <c r="F16" s="7">
        <f t="shared" si="4"/>
        <v>134.3706</v>
      </c>
      <c r="G16" s="13">
        <f t="shared" si="8"/>
        <v>73.79771714</v>
      </c>
      <c r="H16" s="13">
        <f t="shared" si="5"/>
        <v>38.79245514</v>
      </c>
      <c r="I16" s="7">
        <f t="shared" si="6"/>
        <v>0.02577820858</v>
      </c>
      <c r="K16" s="30" t="s">
        <v>47</v>
      </c>
      <c r="L16" s="31">
        <f>(D4-D5)/(D4-K4)</f>
        <v>0.6366106359</v>
      </c>
    </row>
    <row r="17" ht="14.25" customHeight="1">
      <c r="A17" s="7" t="s">
        <v>48</v>
      </c>
      <c r="B17" s="13">
        <f t="shared" si="7"/>
        <v>34.35</v>
      </c>
      <c r="C17" s="7">
        <f t="shared" si="1"/>
        <v>5.431271061</v>
      </c>
      <c r="D17" s="7">
        <f t="shared" si="2"/>
        <v>0.03582683519</v>
      </c>
      <c r="E17" s="7">
        <f t="shared" si="3"/>
        <v>126.4480271</v>
      </c>
      <c r="F17" s="7">
        <f t="shared" si="4"/>
        <v>143.7891</v>
      </c>
      <c r="G17" s="13">
        <f t="shared" si="8"/>
        <v>78.50696714</v>
      </c>
      <c r="H17" s="13">
        <f t="shared" si="5"/>
        <v>47.94105999</v>
      </c>
      <c r="I17" s="7">
        <f t="shared" si="6"/>
        <v>0.02085894639</v>
      </c>
    </row>
    <row r="18" ht="14.25" customHeight="1">
      <c r="A18" s="7" t="s">
        <v>49</v>
      </c>
      <c r="B18" s="13">
        <f t="shared" si="7"/>
        <v>36.6</v>
      </c>
      <c r="C18" s="7">
        <f t="shared" si="1"/>
        <v>6.150699292</v>
      </c>
      <c r="D18" s="7">
        <f t="shared" si="2"/>
        <v>0.04088440471</v>
      </c>
      <c r="E18" s="7">
        <f t="shared" si="3"/>
        <v>141.8547429</v>
      </c>
      <c r="F18" s="7">
        <f t="shared" si="4"/>
        <v>153.2076</v>
      </c>
      <c r="G18" s="13">
        <f t="shared" si="8"/>
        <v>83.21621714</v>
      </c>
      <c r="H18" s="13">
        <f t="shared" si="5"/>
        <v>58.63852577</v>
      </c>
      <c r="I18" s="7">
        <f t="shared" si="6"/>
        <v>0.01705363474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12:I12"/>
    <mergeCell ref="K12:L12"/>
    <mergeCell ref="A1:G1"/>
    <mergeCell ref="H1:O1"/>
    <mergeCell ref="A2:B2"/>
    <mergeCell ref="H2:I5"/>
    <mergeCell ref="A3:B5"/>
    <mergeCell ref="A6:B8"/>
    <mergeCell ref="H6:I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32" t="s">
        <v>50</v>
      </c>
      <c r="H1" s="32" t="s">
        <v>51</v>
      </c>
    </row>
    <row r="2" ht="14.25" customHeight="1">
      <c r="A2" s="32" t="s">
        <v>52</v>
      </c>
      <c r="H2" s="32" t="s">
        <v>53</v>
      </c>
    </row>
    <row r="3" ht="14.25" customHeight="1">
      <c r="A3" s="32" t="s">
        <v>54</v>
      </c>
      <c r="H3" s="32" t="s">
        <v>55</v>
      </c>
    </row>
    <row r="4" ht="14.25" customHeight="1">
      <c r="A4" s="32" t="s">
        <v>56</v>
      </c>
      <c r="H4" s="32" t="s">
        <v>57</v>
      </c>
    </row>
    <row r="5" ht="14.25" customHeight="1">
      <c r="A5" s="32" t="s">
        <v>58</v>
      </c>
      <c r="H5" s="32" t="s">
        <v>59</v>
      </c>
    </row>
    <row r="6" ht="14.25" customHeight="1">
      <c r="A6" s="32" t="s">
        <v>60</v>
      </c>
      <c r="H6" s="32" t="s">
        <v>61</v>
      </c>
    </row>
    <row r="7" ht="14.25" customHeight="1">
      <c r="A7" s="32" t="s">
        <v>62</v>
      </c>
      <c r="H7" s="32" t="s">
        <v>63</v>
      </c>
    </row>
    <row r="8" ht="14.25" customHeight="1">
      <c r="A8" s="32" t="s">
        <v>64</v>
      </c>
      <c r="H8" s="32" t="s">
        <v>65</v>
      </c>
    </row>
    <row r="9" ht="14.25" customHeight="1">
      <c r="A9" s="32" t="s">
        <v>66</v>
      </c>
      <c r="H9" s="32" t="s">
        <v>67</v>
      </c>
    </row>
    <row r="10" ht="14.25" customHeight="1">
      <c r="A10" s="32" t="s">
        <v>68</v>
      </c>
      <c r="H10" s="32" t="s">
        <v>69</v>
      </c>
    </row>
    <row r="11" ht="14.25" customHeight="1">
      <c r="A11" s="32" t="s">
        <v>70</v>
      </c>
    </row>
    <row r="12" ht="14.25" customHeight="1">
      <c r="A12" s="32" t="s">
        <v>71</v>
      </c>
    </row>
    <row r="13" ht="14.25" customHeight="1">
      <c r="A13" s="32" t="s">
        <v>72</v>
      </c>
    </row>
    <row r="14" ht="14.25" customHeight="1">
      <c r="A14" s="32" t="s">
        <v>73</v>
      </c>
    </row>
    <row r="15" ht="14.25" customHeight="1">
      <c r="A15" s="32" t="s">
        <v>74</v>
      </c>
    </row>
    <row r="16" ht="14.25" customHeight="1">
      <c r="A16" s="32" t="s">
        <v>75</v>
      </c>
    </row>
    <row r="17" ht="14.25" customHeight="1">
      <c r="A17" s="33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